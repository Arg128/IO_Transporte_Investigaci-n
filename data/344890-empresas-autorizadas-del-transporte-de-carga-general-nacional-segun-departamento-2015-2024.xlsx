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fil AACevedo\Downloads\"/>
    </mc:Choice>
  </mc:AlternateContent>
  <xr:revisionPtr revIDLastSave="0" documentId="13_ncr:1_{7F5D7D10-5456-42BB-9117-E3E8A3441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.1.2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5" i="1"/>
  <c r="J5" i="1" l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<sst xmlns="http://schemas.openxmlformats.org/spreadsheetml/2006/main" count="31" uniqueCount="31">
  <si>
    <t>(Número de empresas)</t>
  </si>
  <si>
    <t>DEPARTAMENTO</t>
  </si>
  <si>
    <t>TOTAL</t>
  </si>
  <si>
    <t>Amazonas</t>
  </si>
  <si>
    <t>Ancash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</si>
  <si>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</si>
  <si>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</si>
  <si>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</si>
  <si>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</si>
  <si>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</si>
  <si>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</si>
  <si>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</si>
  <si>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</si>
  <si>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</si>
  <si>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</si>
  <si>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</si>
  <si>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</si>
  <si>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</si>
  <si>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</si>
  <si>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</si>
  <si>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</si>
  <si>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</si>
  <si>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</si>
  <si>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</si>
  <si>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</si>
  <si>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</si>
  <si>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</si>
  <si>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Nota: La Región Callao, esta incluida en la Región Lima; la información es del Padrón de Transportistas de Carga Nacional, conformado por Personas Jurídicas y Personas Naturales.</t>
  </si>
  <si>
    <t>Fuente: MTC - Dirección General de Autorizaciones en Transportes - Dirección de Servicios de Transporte Terrestre.</t>
  </si>
  <si>
    <t>Elaboración: OGPP - Oficina de Estadística.</t>
  </si>
  <si>
    <t>EMPRESAS AUTORIZADAS PARA EL TRANSPORTE TERRESTRE DE CARGA POR CARRETERA EN EL ÁMBITO NACIONAL, SEGÚN DEPARTAMENTO: 2015 - 2024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</si>
</sst>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egoe UI Symbol"/>
      <family val="2"/>
    </font>
    <font>
      <b/>
      <sz val="10"/>
      <name val="Segoe UI Symbol"/>
      <family val="2"/>
    </font>
    <font>
      <sz val="7"/>
      <name val="Times New Roman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8"/>
      <name val="Tahoma"/>
      <family val="2"/>
    </font>
    <font>
      <sz val="8"/>
      <name val="Century Gothic"/>
      <family val="2"/>
    </font>
    <font>
      <sz val="9"/>
      <name val="Cambria"/>
      <family val="1"/>
    </font>
    <font>
      <sz val="9"/>
      <color theme="1"/>
      <name val="Cambria"/>
      <family val="1"/>
    </font>
    <font>
      <sz val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2" borderId="1" xfId="1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2"/>
    </xf>
    <xf numFmtId="3" fontId="6" fillId="2" borderId="0" xfId="0" applyNumberFormat="1" applyFont="1" applyFill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indent="2"/>
    </xf>
    <xf numFmtId="3" fontId="6" fillId="2" borderId="3" xfId="0" applyNumberFormat="1" applyFont="1" applyFill="1" applyBorder="1" applyAlignment="1">
      <alignment horizontal="right" vertical="center" wrapText="1"/>
    </xf>
    <xf numFmtId="164" fontId="7" fillId="2" borderId="2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0" fontId="5" fillId="2" borderId="0" xfId="1" quotePrefix="1" applyFont="1" applyFill="1" applyAlignment="1">
      <alignment horizontal="center" vertical="center" wrapText="1"/>
    </xf>
    <xf numFmtId="0" fontId="9" fillId="0" borderId="0" xfId="1" applyFont="1"/>
    <xf numFmtId="3" fontId="8" fillId="0" borderId="0" xfId="0" applyNumberFormat="1" applyFont="1" applyAlignment="1">
      <alignment horizontal="right"/>
    </xf>
    <xf numFmtId="0" fontId="7" fillId="2" borderId="1" xfId="0" applyFont="1" applyFill="1" applyBorder="1" applyAlignment="1">
      <alignment vertical="center" wrapText="1"/>
    </xf>
    <xf numFmtId="0" fontId="10" fillId="2" borderId="0" xfId="0" applyFont="1" applyFill="1"/>
    <xf numFmtId="0" fontId="10" fillId="2" borderId="0" xfId="2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/>
    <xf numFmtId="0" fontId="5" fillId="2" borderId="0" xfId="0" quotePrefix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3">
    <cellStyle name="Normal" xfId="0" builtinId="0"/>
    <cellStyle name="Normal 2 2" xfId="1" xr:uid="{00000000-0005-0000-0000-000001000000}"/>
    <cellStyle name="Normal_IEC1700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Evolución de las Empresas Autorizadas para el Transporte Terrestre de Carga por</a:t>
            </a:r>
            <a:r>
              <a:rPr lang="en-US" sz="1400" baseline="0"/>
              <a:t> Carretera </a:t>
            </a:r>
            <a:r>
              <a:rPr lang="en-US" sz="1400"/>
              <a:t>en el Ámbito Nacional: 2015 - 2024</a:t>
            </a:r>
          </a:p>
          <a:p>
            <a:pPr>
              <a:defRPr sz="1400"/>
            </a:pPr>
            <a:r>
              <a:rPr lang="en-US" sz="1000" b="0"/>
              <a:t>(Número de empresas)</a:t>
            </a:r>
          </a:p>
        </c:rich>
      </c:tx>
      <c:layout>
        <c:manualLayout>
          <c:xMode val="edge"/>
          <c:yMode val="edge"/>
          <c:x val="0.12947344171906569"/>
          <c:y val="1.70575692963752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04456463814888"/>
          <c:y val="0.20626462458905714"/>
          <c:w val="0.85612494832832864"/>
          <c:h val="0.613632020172019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7030A0"/>
              </a:solidFill>
            </a:ln>
          </c:spPr>
          <c:marker>
            <c:symbol val="circle"/>
            <c:size val="8"/>
            <c:spPr>
              <a:solidFill>
                <a:schemeClr val="bg1"/>
              </a:solidFill>
              <a:ln>
                <a:solidFill>
                  <a:srgbClr val="7030A0"/>
                </a:solidFill>
              </a:ln>
            </c:spPr>
          </c:marker>
          <c:dLbls>
            <c:dLbl>
              <c:idx val="1"/>
              <c:layout>
                <c:manualLayout>
                  <c:x val="-5.1591302960568727E-2"/>
                  <c:y val="-2.805495564158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4D-4B7A-815A-3C198E85D928}"/>
                </c:ext>
              </c:extLst>
            </c:dLbl>
            <c:dLbl>
              <c:idx val="2"/>
              <c:layout>
                <c:manualLayout>
                  <c:x val="-4.789068310674325E-2"/>
                  <c:y val="-3.0242899690862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D-4B7A-815A-3C198E85D928}"/>
                </c:ext>
              </c:extLst>
            </c:dLbl>
            <c:dLbl>
              <c:idx val="3"/>
              <c:layout>
                <c:manualLayout>
                  <c:x val="-7.4086409473586828E-2"/>
                  <c:y val="-2.63188006671580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1-475E-8EDC-D0153C624E59}"/>
                </c:ext>
              </c:extLst>
            </c:dLbl>
            <c:dLbl>
              <c:idx val="4"/>
              <c:layout>
                <c:manualLayout>
                  <c:x val="-6.8244092302783485E-2"/>
                  <c:y val="2.33940046287317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4D-4B7A-815A-3C198E85D928}"/>
                </c:ext>
              </c:extLst>
            </c:dLbl>
            <c:dLbl>
              <c:idx val="5"/>
              <c:layout>
                <c:manualLayout>
                  <c:x val="-4.078083078915732E-2"/>
                  <c:y val="1.928891431674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4D-4B7A-815A-3C198E85D928}"/>
                </c:ext>
              </c:extLst>
            </c:dLbl>
            <c:dLbl>
              <c:idx val="6"/>
              <c:layout>
                <c:manualLayout>
                  <c:x val="-4.2631140716069944E-2"/>
                  <c:y val="-2.3808069249964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4D-4B7A-815A-3C198E85D928}"/>
                </c:ext>
              </c:extLst>
            </c:dLbl>
            <c:dLbl>
              <c:idx val="7"/>
              <c:layout>
                <c:manualLayout>
                  <c:x val="-4.0780830789157181E-2"/>
                  <c:y val="1.6836203664197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CF-4032-8C3F-B4C3513CF45F}"/>
                </c:ext>
              </c:extLst>
            </c:dLbl>
            <c:dLbl>
              <c:idx val="8"/>
              <c:layout>
                <c:manualLayout>
                  <c:x val="-4.6331760569895457E-2"/>
                  <c:y val="-2.6122596744372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4D-4B7A-815A-3C198E85D928}"/>
                </c:ext>
              </c:extLst>
            </c:dLbl>
            <c:dLbl>
              <c:idx val="9"/>
              <c:layout>
                <c:manualLayout>
                  <c:x val="-3.8930520862244425E-2"/>
                  <c:y val="-2.2172336216593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1C-4149-AA19-977026996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'C.1.2.4'!$B$4:$K$4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'C.1.2.4'!$B$5:$K$5</c:f>
              <c:numCache>
                <c:formatCode>0\ 000</c:formatCode>
                <c:ptCount val="10"/>
                <c:pt idx="0">
                  <c:v>95469</c:v>
                </c:pt>
                <c:pt idx="1">
                  <c:v>106077</c:v>
                </c:pt>
                <c:pt idx="2">
                  <c:v>115156</c:v>
                </c:pt>
                <c:pt idx="3">
                  <c:v>123746</c:v>
                </c:pt>
                <c:pt idx="4">
                  <c:v>116031</c:v>
                </c:pt>
                <c:pt idx="5">
                  <c:v>113605</c:v>
                </c:pt>
                <c:pt idx="6">
                  <c:v>131617</c:v>
                </c:pt>
                <c:pt idx="7">
                  <c:v>125320</c:v>
                </c:pt>
                <c:pt idx="8">
                  <c:v>131292</c:v>
                </c:pt>
                <c:pt idx="9">
                  <c:v>129385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D-4B7A-815A-3C198E85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892432"/>
        <c:axId val="433893216"/>
      </c:lineChart>
      <c:catAx>
        <c:axId val="43389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893216"/>
        <c:crosses val="autoZero"/>
        <c:auto val="1"/>
        <c:lblAlgn val="ctr"/>
        <c:lblOffset val="100"/>
        <c:noMultiLvlLbl val="0"/>
      </c:catAx>
      <c:valAx>
        <c:axId val="433893216"/>
        <c:scaling>
          <c:orientation val="minMax"/>
          <c:min val="6000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\ 000" sourceLinked="1"/>
        <c:majorTickMark val="out"/>
        <c:minorTickMark val="none"/>
        <c:tickLblPos val="nextTo"/>
        <c:crossAx val="43389243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>
          <a:latin typeface="Segoe UI Symbol" pitchFamily="34" charset="0"/>
          <a:ea typeface="Segoe UI Symbol" pitchFamily="34" charset="0"/>
        </a:defRPr>
      </a:pPr>
      <a:endParaRPr lang="es-PE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184784</xdr:colOff>
      <xdr:row>0</xdr:row>
      <xdr:rowOff>45720</xdr:rowOff>
    </xdr:from>
    <xdr:to>
      <xdr:col>20</xdr:col>
      <xdr:colOff>708659</xdr:colOff>
      <xdr:row>31</xdr:row>
      <xdr:rowOff>182880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0.00624</cdr:x>
      <cdr:y>0.92473</cdr:y>
    </cdr:from>
    <cdr:to>
      <cdr:x>0.84555</cdr:x>
      <cdr:y>0.99033</cdr:y>
    </cdr:to>
    <cdr:sp macro="" textlink="">
      <cdr:nvSpPr>
        <cdr:cNvPr id="2" name="1 Rectángulo"/>
        <cdr:cNvSpPr/>
      </cdr:nvSpPr>
      <cdr:spPr>
        <a:xfrm xmlns:a="http://schemas.openxmlformats.org/drawingml/2006/main">
          <a:off x="42830" y="5897880"/>
          <a:ext cx="5760784" cy="4183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PE" sz="900">
              <a:solidFill>
                <a:sysClr val="windowText" lastClr="000000"/>
              </a:solidFill>
              <a:latin typeface="Segoe UI Symbol" pitchFamily="34" charset="0"/>
              <a:ea typeface="Segoe UI Symbol" pitchFamily="34" charset="0"/>
            </a:rPr>
            <a:t>Fuente: MTC - Dirección General de Transporte Terrestre</a:t>
          </a:r>
        </a:p>
        <a:p xmlns:a="http://schemas.openxmlformats.org/drawingml/2006/main">
          <a:r>
            <a:rPr lang="es-PE" sz="900">
              <a:solidFill>
                <a:sysClr val="windowText" lastClr="000000"/>
              </a:solidFill>
              <a:latin typeface="Segoe UI Symbol" pitchFamily="34" charset="0"/>
              <a:ea typeface="Segoe UI Symbol" pitchFamily="34" charset="0"/>
            </a:rPr>
            <a:t>Elaboración: MTC - OGPP - Oficina de Estadística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showGridLines="0" showRowColHeaders="0" tabSelected="1" workbookViewId="0">
      <selection activeCell="V10" sqref="V10"/>
    </sheetView>
  </sheetViews>
  <sheetFormatPr baseColWidth="10" defaultRowHeight="15" x14ac:dyDescent="0.25"/>
  <cols>
    <col min="1" max="1" width="18" customWidth="1"/>
    <col min="2" max="7" width="9.140625" customWidth="1"/>
    <col min="8" max="12" width="10" customWidth="1"/>
  </cols>
  <sheetData>
    <row r="1" spans="1:20" ht="17.25" customHeight="1" x14ac:dyDescent="0.2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1"/>
      <c r="M1" s="20"/>
      <c r="N1" s="20"/>
      <c r="O1" s="20"/>
      <c r="P1" s="20"/>
      <c r="Q1" s="20"/>
      <c r="R1" s="20"/>
      <c r="S1" s="20"/>
      <c r="T1" s="1"/>
    </row>
    <row r="2" spans="1:20" ht="17.2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1"/>
      <c r="M2" s="1"/>
      <c r="N2" s="1"/>
      <c r="O2" s="1"/>
      <c r="P2" s="1"/>
      <c r="Q2" s="1"/>
      <c r="R2" s="1"/>
      <c r="S2" s="1"/>
      <c r="T2" s="1"/>
    </row>
    <row r="3" spans="1:20" ht="15.75" customHeight="1" thickBot="1" x14ac:dyDescent="0.3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1"/>
      <c r="M3" s="1"/>
      <c r="N3" s="1"/>
      <c r="O3" s="1"/>
      <c r="P3" s="1"/>
      <c r="Q3" s="1"/>
      <c r="R3" s="1"/>
      <c r="S3" s="1"/>
      <c r="T3" s="1"/>
    </row>
    <row r="4" spans="1:20" ht="21.75" customHeight="1" thickBot="1" x14ac:dyDescent="0.3">
      <c r="A4" s="3" t="s">
        <v>1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4" t="s">
        <v>2</v>
      </c>
      <c r="B5" s="9">
        <f t="shared" ref="B5" si="0">SUM(B6:B29)</f>
        <v>95469</v>
      </c>
      <c r="C5" s="9">
        <f t="shared" ref="C5:J5" si="1">SUM(C6:C29)</f>
        <v>106077</v>
      </c>
      <c r="D5" s="9">
        <f t="shared" si="1"/>
        <v>115156</v>
      </c>
      <c r="E5" s="9">
        <f t="shared" si="1"/>
        <v>123746</v>
      </c>
      <c r="F5" s="9">
        <f t="shared" si="1"/>
        <v>116031</v>
      </c>
      <c r="G5" s="9">
        <f t="shared" si="1"/>
        <v>113605</v>
      </c>
      <c r="H5" s="9">
        <f t="shared" si="1"/>
        <v>131617</v>
      </c>
      <c r="I5" s="9">
        <f t="shared" si="1"/>
        <v>125320</v>
      </c>
      <c r="J5" s="9">
        <f t="shared" si="1"/>
        <v>131292</v>
      </c>
      <c r="K5" s="9">
        <f>SUM(K6:K29)</f>
        <v>129385</v>
      </c>
      <c r="L5" s="11"/>
      <c r="M5" s="1"/>
      <c r="N5" s="1"/>
      <c r="O5" s="1"/>
      <c r="P5" s="1"/>
      <c r="Q5" s="1"/>
      <c r="R5" s="1"/>
      <c r="S5" s="1"/>
      <c r="T5" s="1"/>
    </row>
    <row r="6" spans="1:20" x14ac:dyDescent="0.25">
      <c r="A6" s="5" t="s">
        <v>3</v>
      </c>
      <c r="B6" s="6">
        <v>297</v>
      </c>
      <c r="C6" s="6">
        <v>349</v>
      </c>
      <c r="D6" s="6">
        <v>355</v>
      </c>
      <c r="E6" s="6">
        <v>424</v>
      </c>
      <c r="F6" s="6">
        <v>404</v>
      </c>
      <c r="G6" s="6">
        <v>422</v>
      </c>
      <c r="H6" s="6">
        <v>457</v>
      </c>
      <c r="I6" s="6">
        <v>376</v>
      </c>
      <c r="J6" s="6">
        <v>343</v>
      </c>
      <c r="K6" s="6">
        <v>301</v>
      </c>
      <c r="L6" s="6"/>
      <c r="M6" s="1"/>
      <c r="N6" s="1"/>
      <c r="O6" s="1"/>
      <c r="P6" s="1"/>
      <c r="Q6" s="1"/>
      <c r="R6" s="1"/>
      <c r="S6" s="1"/>
      <c r="T6" s="1"/>
    </row>
    <row r="7" spans="1:20" x14ac:dyDescent="0.25">
      <c r="A7" s="5" t="s">
        <v>4</v>
      </c>
      <c r="B7" s="6">
        <v>844</v>
      </c>
      <c r="C7" s="6">
        <v>898</v>
      </c>
      <c r="D7" s="6">
        <v>911</v>
      </c>
      <c r="E7" s="6">
        <v>925</v>
      </c>
      <c r="F7" s="6">
        <v>888</v>
      </c>
      <c r="G7" s="6">
        <v>809</v>
      </c>
      <c r="H7" s="6">
        <v>806</v>
      </c>
      <c r="I7" s="6">
        <v>570</v>
      </c>
      <c r="J7" s="6">
        <v>501</v>
      </c>
      <c r="K7" s="6">
        <v>318</v>
      </c>
      <c r="L7" s="6"/>
      <c r="M7" s="1"/>
      <c r="N7" s="1"/>
      <c r="O7" s="1"/>
      <c r="P7" s="1"/>
      <c r="Q7" s="1"/>
      <c r="R7" s="1"/>
      <c r="S7" s="1"/>
      <c r="T7" s="1"/>
    </row>
    <row r="8" spans="1:20" x14ac:dyDescent="0.25">
      <c r="A8" s="5" t="s">
        <v>5</v>
      </c>
      <c r="B8" s="6">
        <v>861</v>
      </c>
      <c r="C8" s="6">
        <v>943</v>
      </c>
      <c r="D8" s="10">
        <v>1284</v>
      </c>
      <c r="E8" s="10">
        <v>1421</v>
      </c>
      <c r="F8" s="10">
        <v>1396</v>
      </c>
      <c r="G8" s="10">
        <v>1374</v>
      </c>
      <c r="H8" s="10">
        <v>1404</v>
      </c>
      <c r="I8" s="10">
        <v>1217</v>
      </c>
      <c r="J8" s="10">
        <v>1140</v>
      </c>
      <c r="K8" s="6">
        <v>923</v>
      </c>
      <c r="L8" s="6"/>
      <c r="M8" s="1"/>
      <c r="N8" s="1"/>
      <c r="O8" s="1"/>
      <c r="P8" s="1"/>
      <c r="Q8" s="1"/>
      <c r="R8" s="1"/>
      <c r="S8" s="1"/>
      <c r="T8" s="1"/>
    </row>
    <row r="9" spans="1:20" x14ac:dyDescent="0.25">
      <c r="A9" s="5" t="s">
        <v>6</v>
      </c>
      <c r="B9" s="10">
        <v>8574</v>
      </c>
      <c r="C9" s="10">
        <v>9430</v>
      </c>
      <c r="D9" s="10">
        <v>9944</v>
      </c>
      <c r="E9" s="10">
        <v>10470</v>
      </c>
      <c r="F9" s="10">
        <v>9259</v>
      </c>
      <c r="G9" s="10">
        <v>9028</v>
      </c>
      <c r="H9" s="10">
        <v>9223</v>
      </c>
      <c r="I9" s="10">
        <v>7438</v>
      </c>
      <c r="J9" s="10">
        <v>6537</v>
      </c>
      <c r="K9" s="10">
        <v>5248</v>
      </c>
      <c r="L9" s="10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5" t="s">
        <v>7</v>
      </c>
      <c r="B10" s="10">
        <v>1214</v>
      </c>
      <c r="C10" s="10">
        <v>1337</v>
      </c>
      <c r="D10" s="10">
        <v>1453</v>
      </c>
      <c r="E10" s="10">
        <v>1573</v>
      </c>
      <c r="F10" s="10">
        <v>1480</v>
      </c>
      <c r="G10" s="10">
        <v>1510</v>
      </c>
      <c r="H10" s="10">
        <v>1521</v>
      </c>
      <c r="I10" s="10">
        <v>1325</v>
      </c>
      <c r="J10" s="10">
        <v>1205</v>
      </c>
      <c r="K10" s="6">
        <v>947</v>
      </c>
      <c r="L10" s="6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5" t="s">
        <v>8</v>
      </c>
      <c r="B11" s="10">
        <v>2122</v>
      </c>
      <c r="C11" s="10">
        <v>2348</v>
      </c>
      <c r="D11" s="10">
        <v>2764</v>
      </c>
      <c r="E11" s="10">
        <v>3160</v>
      </c>
      <c r="F11" s="10">
        <v>3207</v>
      </c>
      <c r="G11" s="10">
        <v>3234</v>
      </c>
      <c r="H11" s="10">
        <v>3306</v>
      </c>
      <c r="I11" s="10">
        <v>2767</v>
      </c>
      <c r="J11" s="10">
        <v>2529</v>
      </c>
      <c r="K11" s="10">
        <v>2205</v>
      </c>
      <c r="L11" s="10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5" t="s">
        <v>9</v>
      </c>
      <c r="B12" s="10">
        <v>4062</v>
      </c>
      <c r="C12" s="10">
        <v>4434</v>
      </c>
      <c r="D12" s="10">
        <v>4965</v>
      </c>
      <c r="E12" s="10">
        <v>5191</v>
      </c>
      <c r="F12" s="10">
        <v>4852</v>
      </c>
      <c r="G12" s="10">
        <v>4759</v>
      </c>
      <c r="H12" s="10">
        <v>4848</v>
      </c>
      <c r="I12" s="10">
        <v>4075</v>
      </c>
      <c r="J12" s="10">
        <v>3584</v>
      </c>
      <c r="K12" s="10">
        <v>2742</v>
      </c>
      <c r="L12" s="10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5" t="s">
        <v>10</v>
      </c>
      <c r="B13" s="6">
        <v>10</v>
      </c>
      <c r="C13" s="6">
        <v>18</v>
      </c>
      <c r="D13" s="6">
        <v>32</v>
      </c>
      <c r="E13" s="6">
        <v>45</v>
      </c>
      <c r="F13" s="6">
        <v>53</v>
      </c>
      <c r="G13" s="6">
        <v>54</v>
      </c>
      <c r="H13" s="6">
        <v>55</v>
      </c>
      <c r="I13" s="6">
        <v>49</v>
      </c>
      <c r="J13" s="6">
        <v>46</v>
      </c>
      <c r="K13" s="6">
        <v>40</v>
      </c>
      <c r="L13" s="6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5" t="s">
        <v>11</v>
      </c>
      <c r="B14" s="10">
        <v>1395</v>
      </c>
      <c r="C14" s="10">
        <v>1588</v>
      </c>
      <c r="D14" s="10">
        <v>1880</v>
      </c>
      <c r="E14" s="10">
        <v>2088</v>
      </c>
      <c r="F14" s="10">
        <v>2149</v>
      </c>
      <c r="G14" s="10">
        <v>2138</v>
      </c>
      <c r="H14" s="10">
        <v>2170</v>
      </c>
      <c r="I14" s="10">
        <v>1815</v>
      </c>
      <c r="J14" s="10">
        <v>1649</v>
      </c>
      <c r="K14" s="10">
        <v>1411</v>
      </c>
      <c r="L14" s="10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5" t="s">
        <v>12</v>
      </c>
      <c r="B15" s="10">
        <v>2313</v>
      </c>
      <c r="C15" s="10">
        <v>2426</v>
      </c>
      <c r="D15" s="10">
        <v>2524</v>
      </c>
      <c r="E15" s="10">
        <v>2603</v>
      </c>
      <c r="F15" s="10">
        <v>2122</v>
      </c>
      <c r="G15" s="10">
        <v>2014</v>
      </c>
      <c r="H15" s="10">
        <v>2107</v>
      </c>
      <c r="I15" s="10">
        <v>1628</v>
      </c>
      <c r="J15" s="10">
        <v>1392</v>
      </c>
      <c r="K15" s="10">
        <v>1063</v>
      </c>
      <c r="L15" s="10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5" t="s">
        <v>13</v>
      </c>
      <c r="B16" s="10">
        <v>3974</v>
      </c>
      <c r="C16" s="10">
        <v>4186</v>
      </c>
      <c r="D16" s="10">
        <v>4181</v>
      </c>
      <c r="E16" s="10">
        <v>4170</v>
      </c>
      <c r="F16" s="10">
        <v>3443</v>
      </c>
      <c r="G16" s="10">
        <v>3131</v>
      </c>
      <c r="H16" s="10">
        <v>3285</v>
      </c>
      <c r="I16" s="10">
        <v>2463</v>
      </c>
      <c r="J16" s="10">
        <v>2175</v>
      </c>
      <c r="K16" s="10">
        <v>1585</v>
      </c>
      <c r="L16" s="10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5" t="s">
        <v>14</v>
      </c>
      <c r="B17" s="10">
        <v>6244</v>
      </c>
      <c r="C17" s="10">
        <v>6869</v>
      </c>
      <c r="D17" s="10">
        <v>7106</v>
      </c>
      <c r="E17" s="10">
        <v>7505</v>
      </c>
      <c r="F17" s="10">
        <v>6539</v>
      </c>
      <c r="G17" s="10">
        <v>6093</v>
      </c>
      <c r="H17" s="10">
        <v>6277</v>
      </c>
      <c r="I17" s="10">
        <v>4965</v>
      </c>
      <c r="J17" s="10">
        <v>4475</v>
      </c>
      <c r="K17" s="10">
        <v>3489</v>
      </c>
      <c r="L17" s="10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5" t="s">
        <v>15</v>
      </c>
      <c r="B18" s="10">
        <v>4820</v>
      </c>
      <c r="C18" s="10">
        <v>5120</v>
      </c>
      <c r="D18" s="10">
        <v>5433</v>
      </c>
      <c r="E18" s="10">
        <v>5668</v>
      </c>
      <c r="F18" s="10">
        <v>5196</v>
      </c>
      <c r="G18" s="10">
        <v>4881</v>
      </c>
      <c r="H18" s="10">
        <v>4954</v>
      </c>
      <c r="I18" s="10">
        <v>3906</v>
      </c>
      <c r="J18" s="10">
        <v>3422</v>
      </c>
      <c r="K18" s="10">
        <v>2767</v>
      </c>
      <c r="L18" s="10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5" t="s">
        <v>16</v>
      </c>
      <c r="B19" s="10">
        <v>46486</v>
      </c>
      <c r="C19" s="10">
        <v>52765</v>
      </c>
      <c r="D19" s="10">
        <v>57583</v>
      </c>
      <c r="E19" s="10">
        <v>62778</v>
      </c>
      <c r="F19" s="10">
        <v>60547</v>
      </c>
      <c r="G19" s="10">
        <v>59856</v>
      </c>
      <c r="H19" s="10">
        <v>76457</v>
      </c>
      <c r="I19" s="10">
        <v>80508</v>
      </c>
      <c r="J19" s="10">
        <v>91351</v>
      </c>
      <c r="K19" s="10">
        <v>97614</v>
      </c>
      <c r="L19" s="10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5" t="s">
        <v>17</v>
      </c>
      <c r="B20" s="6">
        <v>6</v>
      </c>
      <c r="C20" s="6">
        <v>6</v>
      </c>
      <c r="D20" s="6">
        <v>6</v>
      </c>
      <c r="E20" s="6">
        <v>6</v>
      </c>
      <c r="F20" s="6">
        <v>6</v>
      </c>
      <c r="G20" s="6">
        <v>6</v>
      </c>
      <c r="H20" s="6">
        <v>7</v>
      </c>
      <c r="I20" s="6">
        <v>5</v>
      </c>
      <c r="J20" s="6">
        <v>0</v>
      </c>
      <c r="K20" s="6">
        <f t="shared" ref="K20:L29" si="2">X20</f>
        <v>0</v>
      </c>
      <c r="L20" s="6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5" t="s">
        <v>18</v>
      </c>
      <c r="B21" s="6">
        <v>799</v>
      </c>
      <c r="C21" s="6">
        <v>821</v>
      </c>
      <c r="D21" s="6">
        <v>852</v>
      </c>
      <c r="E21" s="6">
        <v>879</v>
      </c>
      <c r="F21" s="6">
        <v>740</v>
      </c>
      <c r="G21" s="6">
        <v>735</v>
      </c>
      <c r="H21" s="6">
        <v>775</v>
      </c>
      <c r="I21" s="6">
        <v>674</v>
      </c>
      <c r="J21" s="6">
        <v>592</v>
      </c>
      <c r="K21" s="6">
        <v>452</v>
      </c>
      <c r="L21" s="6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5" t="s">
        <v>19</v>
      </c>
      <c r="B22" s="6">
        <v>436</v>
      </c>
      <c r="C22" s="6">
        <v>481</v>
      </c>
      <c r="D22" s="6">
        <v>505</v>
      </c>
      <c r="E22" s="6">
        <v>554</v>
      </c>
      <c r="F22" s="6">
        <v>518</v>
      </c>
      <c r="G22" s="6">
        <v>526</v>
      </c>
      <c r="H22" s="6">
        <v>579</v>
      </c>
      <c r="I22" s="6">
        <v>464</v>
      </c>
      <c r="J22" s="6">
        <v>431</v>
      </c>
      <c r="K22" s="6">
        <v>347</v>
      </c>
      <c r="L22" s="6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5" t="s">
        <v>20</v>
      </c>
      <c r="B23" s="6">
        <v>238</v>
      </c>
      <c r="C23" s="6">
        <v>244</v>
      </c>
      <c r="D23" s="6">
        <v>236</v>
      </c>
      <c r="E23" s="6">
        <v>242</v>
      </c>
      <c r="F23" s="6">
        <v>198</v>
      </c>
      <c r="G23" s="6">
        <v>166</v>
      </c>
      <c r="H23" s="6">
        <v>189</v>
      </c>
      <c r="I23" s="6">
        <v>120</v>
      </c>
      <c r="J23" s="6">
        <v>102</v>
      </c>
      <c r="K23" s="6">
        <v>81</v>
      </c>
      <c r="L23" s="6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5" t="s">
        <v>21</v>
      </c>
      <c r="B24" s="10">
        <v>4286</v>
      </c>
      <c r="C24" s="10">
        <v>4673</v>
      </c>
      <c r="D24" s="10">
        <v>5068</v>
      </c>
      <c r="E24" s="6">
        <v>5309</v>
      </c>
      <c r="F24" s="6">
        <v>4733</v>
      </c>
      <c r="G24" s="6">
        <v>4547</v>
      </c>
      <c r="H24" s="6">
        <v>4670</v>
      </c>
      <c r="I24" s="6">
        <v>3767</v>
      </c>
      <c r="J24" s="6">
        <v>3353</v>
      </c>
      <c r="K24" s="10">
        <v>2660</v>
      </c>
      <c r="L24" s="10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5" t="s">
        <v>22</v>
      </c>
      <c r="B25" s="10">
        <v>2232</v>
      </c>
      <c r="C25" s="10">
        <v>2569</v>
      </c>
      <c r="D25" s="10">
        <v>3194</v>
      </c>
      <c r="E25" s="10">
        <v>3498</v>
      </c>
      <c r="F25" s="10">
        <v>3435</v>
      </c>
      <c r="G25" s="10">
        <v>3469</v>
      </c>
      <c r="H25" s="10">
        <v>3553</v>
      </c>
      <c r="I25" s="10">
        <v>3116</v>
      </c>
      <c r="J25" s="10">
        <v>2829</v>
      </c>
      <c r="K25" s="10">
        <v>2410</v>
      </c>
      <c r="L25" s="10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5" t="s">
        <v>23</v>
      </c>
      <c r="B26" s="10">
        <v>1086</v>
      </c>
      <c r="C26" s="10">
        <v>1175</v>
      </c>
      <c r="D26" s="10">
        <v>1336</v>
      </c>
      <c r="E26" s="10">
        <v>1474</v>
      </c>
      <c r="F26" s="10">
        <v>1491</v>
      </c>
      <c r="G26" s="10">
        <v>1552</v>
      </c>
      <c r="H26" s="10">
        <v>1602</v>
      </c>
      <c r="I26" s="10">
        <v>1388</v>
      </c>
      <c r="J26" s="10">
        <v>1275</v>
      </c>
      <c r="K26" s="10">
        <v>1007</v>
      </c>
      <c r="L26" s="10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5" t="s">
        <v>24</v>
      </c>
      <c r="B27" s="10">
        <v>1775</v>
      </c>
      <c r="C27" s="10">
        <v>1924</v>
      </c>
      <c r="D27" s="10">
        <v>2004</v>
      </c>
      <c r="E27" s="10">
        <v>2145</v>
      </c>
      <c r="F27" s="10">
        <v>1966</v>
      </c>
      <c r="G27" s="10">
        <v>1876</v>
      </c>
      <c r="H27" s="10">
        <v>1897</v>
      </c>
      <c r="I27" s="10">
        <v>1492</v>
      </c>
      <c r="J27" s="10">
        <v>1279</v>
      </c>
      <c r="K27" s="6">
        <v>990</v>
      </c>
      <c r="L27" s="6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5" t="s">
        <v>25</v>
      </c>
      <c r="B28" s="6">
        <v>728</v>
      </c>
      <c r="C28" s="6">
        <v>755</v>
      </c>
      <c r="D28" s="6">
        <v>801</v>
      </c>
      <c r="E28" s="6">
        <v>836</v>
      </c>
      <c r="F28" s="6">
        <v>781</v>
      </c>
      <c r="G28" s="6">
        <v>787</v>
      </c>
      <c r="H28" s="6">
        <v>791</v>
      </c>
      <c r="I28" s="6">
        <v>649</v>
      </c>
      <c r="J28" s="6">
        <v>603</v>
      </c>
      <c r="K28" s="6">
        <v>410</v>
      </c>
      <c r="L28" s="6"/>
      <c r="M28" s="1"/>
      <c r="N28" s="1"/>
      <c r="O28" s="1"/>
      <c r="P28" s="1"/>
      <c r="Q28" s="1"/>
      <c r="R28" s="1"/>
      <c r="S28" s="1"/>
      <c r="T28" s="1"/>
    </row>
    <row r="29" spans="1:20" ht="15.75" thickBot="1" x14ac:dyDescent="0.3">
      <c r="A29" s="7" t="s">
        <v>26</v>
      </c>
      <c r="B29" s="8">
        <v>667</v>
      </c>
      <c r="C29" s="8">
        <v>718</v>
      </c>
      <c r="D29" s="8">
        <v>739</v>
      </c>
      <c r="E29" s="8">
        <v>782</v>
      </c>
      <c r="F29" s="8">
        <v>628</v>
      </c>
      <c r="G29" s="8">
        <v>638</v>
      </c>
      <c r="H29" s="8">
        <v>684</v>
      </c>
      <c r="I29" s="8">
        <v>543</v>
      </c>
      <c r="J29" s="8">
        <v>479</v>
      </c>
      <c r="K29" s="8">
        <v>375</v>
      </c>
      <c r="L29" s="10"/>
      <c r="M29" s="1"/>
      <c r="N29" s="1"/>
      <c r="O29" s="1"/>
      <c r="P29" s="1"/>
      <c r="Q29" s="1"/>
      <c r="R29" s="1"/>
      <c r="S29" s="1"/>
      <c r="T29" s="1"/>
    </row>
    <row r="30" spans="1:20" ht="15" customHeight="1" x14ac:dyDescent="0.25">
      <c r="A30" s="18" t="s">
        <v>27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0"/>
      <c r="M30" s="1"/>
      <c r="N30" s="1"/>
      <c r="O30" s="1"/>
      <c r="P30" s="1"/>
      <c r="Q30" s="1"/>
      <c r="R30" s="1"/>
      <c r="S30" s="1"/>
      <c r="T30" s="1"/>
    </row>
    <row r="31" spans="1:20" ht="15" customHeight="1" x14ac:dyDescent="0.25">
      <c r="A31" s="15" t="s">
        <v>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"/>
      <c r="M31" s="1"/>
      <c r="N31" s="1"/>
      <c r="O31" s="1"/>
      <c r="P31" s="1"/>
      <c r="Q31" s="1"/>
      <c r="R31" s="1"/>
      <c r="S31" s="1"/>
      <c r="T31" s="1"/>
    </row>
    <row r="32" spans="1:20" ht="15" customHeight="1" x14ac:dyDescent="0.25">
      <c r="A32" s="15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</row>
    <row r="34" spans="1:20" x14ac:dyDescent="0.25"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</row>
    <row r="35" spans="1:20" x14ac:dyDescent="0.25">
      <c r="H35" s="2"/>
      <c r="I35" s="2"/>
      <c r="J35" s="2"/>
      <c r="K35" s="2"/>
      <c r="L35" s="2"/>
      <c r="M35" s="2"/>
      <c r="N35" s="2"/>
    </row>
    <row r="36" spans="1:20" x14ac:dyDescent="0.25">
      <c r="H36" s="2"/>
      <c r="I36" s="2"/>
      <c r="J36" s="2"/>
      <c r="K36" s="2"/>
      <c r="L36" s="2"/>
      <c r="M36" s="2"/>
      <c r="N36" s="2"/>
    </row>
    <row r="37" spans="1:20" x14ac:dyDescent="0.25">
      <c r="A37" s="15"/>
      <c r="H37" s="2"/>
      <c r="I37" s="2"/>
      <c r="J37" s="2"/>
      <c r="K37" s="2"/>
      <c r="L37" s="2"/>
      <c r="M37" s="2"/>
      <c r="N37" s="2"/>
    </row>
    <row r="38" spans="1:20" x14ac:dyDescent="0.25">
      <c r="A38" s="16"/>
      <c r="H38" s="2"/>
      <c r="I38" s="2"/>
      <c r="J38" s="2"/>
      <c r="K38" s="2"/>
      <c r="L38" s="2"/>
      <c r="M38" s="2"/>
      <c r="N38" s="2"/>
    </row>
    <row r="39" spans="1:20" x14ac:dyDescent="0.25">
      <c r="A39" s="17"/>
      <c r="H39" s="2"/>
      <c r="I39" s="2"/>
      <c r="J39" s="2"/>
      <c r="K39" s="2"/>
      <c r="L39" s="2"/>
      <c r="M39" s="2"/>
      <c r="N39" s="2"/>
    </row>
    <row r="40" spans="1:20" x14ac:dyDescent="0.25">
      <c r="H40" s="2"/>
      <c r="I40" s="2"/>
      <c r="J40" s="2"/>
      <c r="K40" s="2"/>
      <c r="L40" s="2"/>
      <c r="M40" s="2"/>
      <c r="N40" s="2"/>
    </row>
    <row r="41" spans="1:20" x14ac:dyDescent="0.25">
      <c r="H41" s="2"/>
      <c r="I41" s="2"/>
      <c r="J41" s="2"/>
      <c r="K41" s="2"/>
      <c r="L41" s="2"/>
      <c r="M41" s="2"/>
      <c r="N41" s="2"/>
    </row>
    <row r="42" spans="1:20" x14ac:dyDescent="0.25">
      <c r="H42" s="2"/>
      <c r="I42" s="2"/>
      <c r="J42" s="2"/>
      <c r="K42" s="2"/>
      <c r="L42" s="2"/>
      <c r="M42" s="2"/>
      <c r="N42" s="2"/>
    </row>
    <row r="43" spans="1:20" x14ac:dyDescent="0.25">
      <c r="H43" s="2"/>
      <c r="I43" s="2"/>
      <c r="J43" s="2"/>
      <c r="K43" s="2"/>
      <c r="L43" s="2"/>
      <c r="M43" s="2"/>
      <c r="N43" s="2"/>
    </row>
    <row r="44" spans="1:20" x14ac:dyDescent="0.25">
      <c r="H44" s="2"/>
      <c r="I44" s="2"/>
      <c r="J44" s="2"/>
      <c r="K44" s="2"/>
      <c r="L44" s="2"/>
      <c r="M44" s="2"/>
      <c r="N44" s="2"/>
    </row>
    <row r="45" spans="1:20" x14ac:dyDescent="0.25">
      <c r="H45" s="2"/>
      <c r="I45" s="2"/>
      <c r="J45" s="2"/>
      <c r="K45" s="2"/>
      <c r="L45" s="2"/>
      <c r="M45" s="2"/>
      <c r="N45" s="2"/>
    </row>
    <row r="46" spans="1:20" x14ac:dyDescent="0.25">
      <c r="H46" s="2"/>
      <c r="I46" s="2"/>
      <c r="J46" s="2"/>
      <c r="K46" s="2"/>
      <c r="L46" s="2"/>
      <c r="M46" s="2"/>
      <c r="N46" s="2"/>
    </row>
    <row r="47" spans="1:20" x14ac:dyDescent="0.25">
      <c r="H47" s="2"/>
      <c r="I47" s="2"/>
      <c r="J47" s="2"/>
      <c r="K47" s="2"/>
      <c r="L47" s="2"/>
      <c r="M47" s="2"/>
      <c r="N47" s="2"/>
    </row>
    <row r="48" spans="1:20" x14ac:dyDescent="0.25">
      <c r="H48" s="2"/>
      <c r="I48" s="2"/>
      <c r="J48" s="2"/>
      <c r="K48" s="2"/>
      <c r="L48" s="2"/>
      <c r="M48" s="2"/>
      <c r="N48" s="2"/>
    </row>
    <row r="49" spans="8:14" x14ac:dyDescent="0.25">
      <c r="H49" s="2"/>
      <c r="I49" s="2"/>
      <c r="J49" s="2"/>
      <c r="K49" s="2"/>
      <c r="L49" s="2"/>
      <c r="M49" s="2"/>
      <c r="N49" s="2"/>
    </row>
    <row r="50" spans="8:14" x14ac:dyDescent="0.25">
      <c r="H50" s="2"/>
      <c r="I50" s="2"/>
      <c r="J50" s="2"/>
      <c r="K50" s="2"/>
      <c r="L50" s="2"/>
      <c r="M50" s="2"/>
      <c r="N50" s="2"/>
    </row>
    <row r="51" spans="8:14" x14ac:dyDescent="0.25">
      <c r="H51" s="2"/>
      <c r="I51" s="2"/>
      <c r="J51" s="2"/>
      <c r="K51" s="2"/>
      <c r="L51" s="2"/>
      <c r="M51" s="2"/>
      <c r="N51" s="2"/>
    </row>
    <row r="52" spans="8:14" x14ac:dyDescent="0.25">
      <c r="H52" s="2"/>
      <c r="I52" s="2"/>
      <c r="J52" s="2"/>
      <c r="K52" s="2"/>
      <c r="L52" s="2"/>
      <c r="M52" s="2"/>
      <c r="N52" s="2"/>
    </row>
    <row r="53" spans="8:14" x14ac:dyDescent="0.25">
      <c r="H53" s="2"/>
      <c r="I53" s="2"/>
      <c r="J53" s="2"/>
      <c r="K53" s="2"/>
      <c r="L53" s="2"/>
      <c r="M53" s="2"/>
      <c r="N53" s="2"/>
    </row>
    <row r="54" spans="8:14" x14ac:dyDescent="0.25">
      <c r="H54" s="2"/>
      <c r="I54" s="2"/>
      <c r="J54" s="2"/>
      <c r="K54" s="2"/>
      <c r="L54" s="2"/>
      <c r="M54" s="2"/>
      <c r="N54" s="2"/>
    </row>
    <row r="55" spans="8:14" x14ac:dyDescent="0.25">
      <c r="H55" s="2"/>
      <c r="I55" s="2"/>
      <c r="J55" s="2"/>
      <c r="K55" s="2"/>
      <c r="L55" s="2"/>
      <c r="M55" s="2"/>
      <c r="N55" s="2"/>
    </row>
    <row r="56" spans="8:14" x14ac:dyDescent="0.25">
      <c r="H56" s="2"/>
      <c r="I56" s="2"/>
      <c r="J56" s="2"/>
      <c r="K56" s="2"/>
      <c r="L56" s="2"/>
      <c r="M56" s="2"/>
      <c r="N56" s="2"/>
    </row>
    <row r="57" spans="8:14" x14ac:dyDescent="0.25">
      <c r="H57" s="2"/>
      <c r="I57" s="2"/>
      <c r="J57" s="2"/>
      <c r="K57" s="2"/>
      <c r="L57" s="2"/>
      <c r="M57" s="2"/>
      <c r="N57" s="2"/>
    </row>
    <row r="58" spans="8:14" x14ac:dyDescent="0.25">
      <c r="H58" s="2"/>
      <c r="I58" s="2"/>
      <c r="J58" s="2"/>
      <c r="K58" s="2"/>
      <c r="L58" s="2"/>
      <c r="M58" s="2"/>
      <c r="N58" s="2"/>
    </row>
    <row r="59" spans="8:14" x14ac:dyDescent="0.25">
      <c r="H59" s="2"/>
      <c r="I59" s="2"/>
      <c r="J59" s="2"/>
      <c r="K59" s="2"/>
      <c r="L59" s="2"/>
      <c r="M59" s="2"/>
      <c r="N59" s="2"/>
    </row>
    <row r="70" spans="2:21" ht="15.75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2"/>
      <c r="N70" s="12"/>
      <c r="O70" s="12"/>
      <c r="P70" s="12"/>
      <c r="Q70" s="12"/>
      <c r="R70" s="12"/>
      <c r="S70" s="12"/>
      <c r="T70" s="12"/>
      <c r="U70" s="12"/>
    </row>
    <row r="71" spans="2:21" ht="15.75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2:21" ht="15.75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2:21" ht="15.75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2:21" ht="15.75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</sheetData>
  <mergeCells count="3">
    <mergeCell ref="A1:K2"/>
    <mergeCell ref="M1:S1"/>
    <mergeCell ref="A3:K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C.1.2.4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Empresas Autorizadas</dc:title>
  <dc:subject>Carga General Nacional</dc:subject>
  <dc:creator>Néstor Llatas Vásquez</dc:creator>
  <cp:lastModifiedBy>Acevedo Hinostroza, Jesus Angel</cp:lastModifiedBy>
  <dcterms:created xsi:type="dcterms:W3CDTF">2014-04-02T15:39:05Z</dcterms:created>
  <dcterms:modified xsi:type="dcterms:W3CDTF">2025-07-09T15:36:31Z</dcterms:modified>
</cp:coreProperties>
</file>